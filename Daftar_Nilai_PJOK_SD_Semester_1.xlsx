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as IV" sheetId="1" state="visible" r:id="rId1"/>
    <sheet xmlns:r="http://schemas.openxmlformats.org/officeDocument/2006/relationships" name="Kelas V" sheetId="2" state="visible" r:id="rId2"/>
    <sheet xmlns:r="http://schemas.openxmlformats.org/officeDocument/2006/relationships" name="Kelas V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95959"/>
      <sz val="11"/>
    </font>
    <font>
      <name val="Calibri"/>
      <b val="1"/>
      <color rgb="00FFFFFF"/>
      <sz val="10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9DAF8"/>
        <bgColor rgb="00C9DAF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1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/>
    <row r="2">
      <c r="B2" s="1" t="inlineStr">
        <is>
          <t>DAFTAR NILAI FORMATIF &amp; SUMATIF PJOK KELAS IV SEMESTER 1</t>
        </is>
      </c>
    </row>
    <row r="3">
      <c r="B3" s="2" t="inlineStr">
        <is>
          <t>Kurikulum Merdeka — Pendekatan Deep Learning | Tahun Ajaran 2026/2027</t>
        </is>
      </c>
    </row>
    <row r="4"/>
    <row r="5" ht="25" customHeight="1">
      <c r="B5" s="3" t="inlineStr">
        <is>
          <t>No</t>
        </is>
      </c>
      <c r="C5" s="3" t="inlineStr">
        <is>
          <t>Nama Siswa</t>
        </is>
      </c>
      <c r="D5" s="3" t="inlineStr">
        <is>
          <t>NISN</t>
        </is>
      </c>
      <c r="E5" s="3" t="inlineStr">
        <is>
          <t>BAB 1: Waktunya Bergerak</t>
        </is>
      </c>
      <c r="F5" s="3" t="n"/>
      <c r="G5" s="3" t="n"/>
      <c r="H5" s="3" t="inlineStr">
        <is>
          <t>BAB 2: Saatnya Bermain</t>
        </is>
      </c>
      <c r="I5" s="3" t="n"/>
      <c r="J5" s="3" t="n"/>
      <c r="K5" s="3" t="inlineStr">
        <is>
          <t>BAB 3: Memadukan Gerak</t>
        </is>
      </c>
      <c r="L5" s="3" t="n"/>
      <c r="M5" s="3" t="n"/>
      <c r="N5" s="3" t="inlineStr">
        <is>
          <t>Rerata
Formatif</t>
        </is>
      </c>
      <c r="O5" s="3" t="inlineStr">
        <is>
          <t>Rerata
Sumatif</t>
        </is>
      </c>
      <c r="P5" s="3" t="inlineStr">
        <is>
          <t>NILAI AKHIR
SEMESTER</t>
        </is>
      </c>
    </row>
    <row r="6" ht="35" customHeight="1">
      <c r="B6" s="3" t="n"/>
      <c r="C6" s="3" t="n"/>
      <c r="D6" s="3" t="n"/>
      <c r="E6" s="3" t="inlineStr">
        <is>
          <t>F1
(Lokomotor/
Non-lokomotor)</t>
        </is>
      </c>
      <c r="F6" s="3" t="inlineStr">
        <is>
          <t>F2
(Manipulatif/
Air)</t>
        </is>
      </c>
      <c r="G6" s="3" t="inlineStr">
        <is>
          <t>S1
(Tes Praktik
Bab 1)</t>
        </is>
      </c>
      <c r="H6" s="3" t="inlineStr">
        <is>
          <t>F3
(Permainan
Invasi/Net)</t>
        </is>
      </c>
      <c r="I6" s="3" t="inlineStr">
        <is>
          <t>F4
(Lapangan/
Target)</t>
        </is>
      </c>
      <c r="J6" s="3" t="inlineStr">
        <is>
          <t>S2
(Tes Praktik
Bab 2)</t>
        </is>
      </c>
      <c r="K6" s="3" t="inlineStr">
        <is>
          <t>F5
(Gerak
Berirama)</t>
        </is>
      </c>
      <c r="L6" s="3" t="inlineStr">
        <is>
          <t>F6
(Senam/
Pencak Silat)</t>
        </is>
      </c>
      <c r="M6" s="3" t="inlineStr">
        <is>
          <t>S3
(Tes Praktik
Bab 3)</t>
        </is>
      </c>
      <c r="N6" s="3" t="n"/>
      <c r="O6" s="3" t="n"/>
      <c r="P6" s="3" t="n"/>
    </row>
    <row r="7">
      <c r="B7" s="4" t="n">
        <v>1</v>
      </c>
      <c r="C7" s="5" t="inlineStr">
        <is>
          <t>Ahmad Fauzi</t>
        </is>
      </c>
      <c r="D7" s="4" t="inlineStr">
        <is>
          <t>0123456781</t>
        </is>
      </c>
      <c r="E7" s="6" t="n">
        <v>85</v>
      </c>
      <c r="F7" s="6" t="n">
        <v>85</v>
      </c>
      <c r="G7" s="6" t="n">
        <v>79</v>
      </c>
      <c r="H7" s="6" t="n">
        <v>85</v>
      </c>
      <c r="I7" s="6" t="n">
        <v>85</v>
      </c>
      <c r="J7" s="6" t="n">
        <v>79</v>
      </c>
      <c r="K7" s="6" t="n">
        <v>85</v>
      </c>
      <c r="L7" s="6" t="n">
        <v>85</v>
      </c>
      <c r="M7" s="6" t="n">
        <v>79</v>
      </c>
      <c r="N7" s="7">
        <f>AVERAGE(E7:F7,H7:I7,K7:L7)</f>
        <v/>
      </c>
      <c r="O7" s="7">
        <f>AVERAGE(G7,J7,M7)</f>
        <v/>
      </c>
      <c r="P7" s="8">
        <f>ROUND(AVERAGE(N7:O7),0)</f>
        <v/>
      </c>
    </row>
    <row r="8">
      <c r="B8" s="9" t="n">
        <v>2</v>
      </c>
      <c r="C8" s="10" t="inlineStr">
        <is>
          <t>Budi Santoso</t>
        </is>
      </c>
      <c r="D8" s="9" t="inlineStr">
        <is>
          <t>0123456782</t>
        </is>
      </c>
      <c r="E8" s="11" t="n">
        <v>87</v>
      </c>
      <c r="F8" s="11" t="n">
        <v>87</v>
      </c>
      <c r="G8" s="11" t="n">
        <v>81</v>
      </c>
      <c r="H8" s="11" t="n">
        <v>87</v>
      </c>
      <c r="I8" s="11" t="n">
        <v>87</v>
      </c>
      <c r="J8" s="11" t="n">
        <v>81</v>
      </c>
      <c r="K8" s="11" t="n">
        <v>87</v>
      </c>
      <c r="L8" s="11" t="n">
        <v>87</v>
      </c>
      <c r="M8" s="11" t="n">
        <v>81</v>
      </c>
      <c r="N8" s="12">
        <f>AVERAGE(E8:F8,H8:I8,K8:L8)</f>
        <v/>
      </c>
      <c r="O8" s="12">
        <f>AVERAGE(G8,J8,M8)</f>
        <v/>
      </c>
      <c r="P8" s="8">
        <f>ROUND(AVERAGE(N8:O8),0)</f>
        <v/>
      </c>
    </row>
    <row r="9">
      <c r="B9" s="4" t="n">
        <v>3</v>
      </c>
      <c r="C9" s="5" t="inlineStr">
        <is>
          <t>Citra Lestari</t>
        </is>
      </c>
      <c r="D9" s="4" t="inlineStr">
        <is>
          <t>0123456783</t>
        </is>
      </c>
      <c r="E9" s="6" t="n">
        <v>80</v>
      </c>
      <c r="F9" s="6" t="n">
        <v>80</v>
      </c>
      <c r="G9" s="6" t="n">
        <v>74</v>
      </c>
      <c r="H9" s="6" t="n">
        <v>80</v>
      </c>
      <c r="I9" s="6" t="n">
        <v>80</v>
      </c>
      <c r="J9" s="6" t="n">
        <v>74</v>
      </c>
      <c r="K9" s="6" t="n">
        <v>80</v>
      </c>
      <c r="L9" s="6" t="n">
        <v>80</v>
      </c>
      <c r="M9" s="6" t="n">
        <v>74</v>
      </c>
      <c r="N9" s="7">
        <f>AVERAGE(E9:F9,H9:I9,K9:L9)</f>
        <v/>
      </c>
      <c r="O9" s="7">
        <f>AVERAGE(G9,J9,M9)</f>
        <v/>
      </c>
      <c r="P9" s="8">
        <f>ROUND(AVERAGE(N9:O9),0)</f>
        <v/>
      </c>
    </row>
    <row r="10">
      <c r="B10" s="9" t="n">
        <v>4</v>
      </c>
      <c r="C10" s="10" t="inlineStr">
        <is>
          <t>Dedi Wijaya</t>
        </is>
      </c>
      <c r="D10" s="9" t="inlineStr">
        <is>
          <t>0123456784</t>
        </is>
      </c>
      <c r="E10" s="11" t="n">
        <v>82</v>
      </c>
      <c r="F10" s="11" t="n">
        <v>82</v>
      </c>
      <c r="G10" s="11" t="n">
        <v>76</v>
      </c>
      <c r="H10" s="11" t="n">
        <v>82</v>
      </c>
      <c r="I10" s="11" t="n">
        <v>82</v>
      </c>
      <c r="J10" s="11" t="n">
        <v>76</v>
      </c>
      <c r="K10" s="11" t="n">
        <v>82</v>
      </c>
      <c r="L10" s="11" t="n">
        <v>82</v>
      </c>
      <c r="M10" s="11" t="n">
        <v>76</v>
      </c>
      <c r="N10" s="12">
        <f>AVERAGE(E10:F10,H10:I10,K10:L10)</f>
        <v/>
      </c>
      <c r="O10" s="12">
        <f>AVERAGE(G10,J10,M10)</f>
        <v/>
      </c>
      <c r="P10" s="8">
        <f>ROUND(AVERAGE(N10:O10),0)</f>
        <v/>
      </c>
    </row>
    <row r="11">
      <c r="B11" s="4" t="n">
        <v>5</v>
      </c>
      <c r="C11" s="5" t="inlineStr">
        <is>
          <t>Eka Putri</t>
        </is>
      </c>
      <c r="D11" s="4" t="inlineStr">
        <is>
          <t>0123456785</t>
        </is>
      </c>
      <c r="E11" s="6" t="n">
        <v>90</v>
      </c>
      <c r="F11" s="6" t="n">
        <v>90</v>
      </c>
      <c r="G11" s="6" t="n">
        <v>84</v>
      </c>
      <c r="H11" s="6" t="n">
        <v>90</v>
      </c>
      <c r="I11" s="6" t="n">
        <v>90</v>
      </c>
      <c r="J11" s="6" t="n">
        <v>84</v>
      </c>
      <c r="K11" s="6" t="n">
        <v>90</v>
      </c>
      <c r="L11" s="6" t="n">
        <v>90</v>
      </c>
      <c r="M11" s="6" t="n">
        <v>84</v>
      </c>
      <c r="N11" s="7">
        <f>AVERAGE(E11:F11,H11:I11,K11:L11)</f>
        <v/>
      </c>
      <c r="O11" s="7">
        <f>AVERAGE(G11,J11,M11)</f>
        <v/>
      </c>
      <c r="P11" s="8">
        <f>ROUND(AVERAGE(N11:O11),0)</f>
        <v/>
      </c>
    </row>
    <row r="12">
      <c r="B12" s="9" t="n">
        <v>6</v>
      </c>
      <c r="C12" s="10" t="inlineStr">
        <is>
          <t>Fajar Ramadhan</t>
        </is>
      </c>
      <c r="D12" s="9" t="inlineStr">
        <is>
          <t>0123456786</t>
        </is>
      </c>
      <c r="E12" s="11" t="n">
        <v>77</v>
      </c>
      <c r="F12" s="11" t="n">
        <v>77</v>
      </c>
      <c r="G12" s="11" t="n">
        <v>71</v>
      </c>
      <c r="H12" s="11" t="n">
        <v>77</v>
      </c>
      <c r="I12" s="11" t="n">
        <v>77</v>
      </c>
      <c r="J12" s="11" t="n">
        <v>71</v>
      </c>
      <c r="K12" s="11" t="n">
        <v>77</v>
      </c>
      <c r="L12" s="11" t="n">
        <v>77</v>
      </c>
      <c r="M12" s="11" t="n">
        <v>71</v>
      </c>
      <c r="N12" s="12">
        <f>AVERAGE(E12:F12,H12:I12,K12:L12)</f>
        <v/>
      </c>
      <c r="O12" s="12">
        <f>AVERAGE(G12,J12,M12)</f>
        <v/>
      </c>
      <c r="P12" s="8">
        <f>ROUND(AVERAGE(N12:O12),0)</f>
        <v/>
      </c>
    </row>
    <row r="13">
      <c r="B13" s="4" t="n">
        <v>7</v>
      </c>
      <c r="C13" s="5" t="inlineStr">
        <is>
          <t>Gita Permata</t>
        </is>
      </c>
      <c r="D13" s="4" t="inlineStr">
        <is>
          <t>0123456787</t>
        </is>
      </c>
      <c r="E13" s="6" t="n">
        <v>85</v>
      </c>
      <c r="F13" s="6" t="n">
        <v>85</v>
      </c>
      <c r="G13" s="6" t="n">
        <v>79</v>
      </c>
      <c r="H13" s="6" t="n">
        <v>85</v>
      </c>
      <c r="I13" s="6" t="n">
        <v>85</v>
      </c>
      <c r="J13" s="6" t="n">
        <v>79</v>
      </c>
      <c r="K13" s="6" t="n">
        <v>85</v>
      </c>
      <c r="L13" s="6" t="n">
        <v>85</v>
      </c>
      <c r="M13" s="6" t="n">
        <v>79</v>
      </c>
      <c r="N13" s="7">
        <f>AVERAGE(E13:F13,H13:I13,K13:L13)</f>
        <v/>
      </c>
      <c r="O13" s="7">
        <f>AVERAGE(G13,J13,M13)</f>
        <v/>
      </c>
      <c r="P13" s="8">
        <f>ROUND(AVERAGE(N13:O13),0)</f>
        <v/>
      </c>
    </row>
    <row r="14">
      <c r="B14" s="9" t="n">
        <v>8</v>
      </c>
      <c r="C14" s="10" t="inlineStr">
        <is>
          <t>Hadi Kusuma</t>
        </is>
      </c>
      <c r="D14" s="9" t="inlineStr">
        <is>
          <t>0123456788</t>
        </is>
      </c>
      <c r="E14" s="11" t="n">
        <v>87</v>
      </c>
      <c r="F14" s="11" t="n">
        <v>87</v>
      </c>
      <c r="G14" s="11" t="n">
        <v>81</v>
      </c>
      <c r="H14" s="11" t="n">
        <v>87</v>
      </c>
      <c r="I14" s="11" t="n">
        <v>87</v>
      </c>
      <c r="J14" s="11" t="n">
        <v>81</v>
      </c>
      <c r="K14" s="11" t="n">
        <v>87</v>
      </c>
      <c r="L14" s="11" t="n">
        <v>87</v>
      </c>
      <c r="M14" s="11" t="n">
        <v>81</v>
      </c>
      <c r="N14" s="12">
        <f>AVERAGE(E14:F14,H14:I14,K14:L14)</f>
        <v/>
      </c>
      <c r="O14" s="12">
        <f>AVERAGE(G14,J14,M14)</f>
        <v/>
      </c>
      <c r="P14" s="8">
        <f>ROUND(AVERAGE(N14:O14),0)</f>
        <v/>
      </c>
    </row>
    <row r="15">
      <c r="B15" s="4" t="n">
        <v>9</v>
      </c>
      <c r="C15" s="5" t="inlineStr">
        <is>
          <t>Indah Cahyani</t>
        </is>
      </c>
      <c r="D15" s="4" t="inlineStr">
        <is>
          <t>0123456789</t>
        </is>
      </c>
      <c r="E15" s="6" t="n">
        <v>80</v>
      </c>
      <c r="F15" s="6" t="n">
        <v>80</v>
      </c>
      <c r="G15" s="6" t="n">
        <v>74</v>
      </c>
      <c r="H15" s="6" t="n">
        <v>80</v>
      </c>
      <c r="I15" s="6" t="n">
        <v>80</v>
      </c>
      <c r="J15" s="6" t="n">
        <v>74</v>
      </c>
      <c r="K15" s="6" t="n">
        <v>80</v>
      </c>
      <c r="L15" s="6" t="n">
        <v>80</v>
      </c>
      <c r="M15" s="6" t="n">
        <v>74</v>
      </c>
      <c r="N15" s="7">
        <f>AVERAGE(E15:F15,H15:I15,K15:L15)</f>
        <v/>
      </c>
      <c r="O15" s="7">
        <f>AVERAGE(G15,J15,M15)</f>
        <v/>
      </c>
      <c r="P15" s="8">
        <f>ROUND(AVERAGE(N15:O15),0)</f>
        <v/>
      </c>
    </row>
    <row r="16">
      <c r="B16" s="9" t="n">
        <v>10</v>
      </c>
      <c r="C16" s="10" t="inlineStr">
        <is>
          <t>Joko Susilo</t>
        </is>
      </c>
      <c r="D16" s="9" t="inlineStr">
        <is>
          <t>0123456790</t>
        </is>
      </c>
      <c r="E16" s="11" t="n">
        <v>82</v>
      </c>
      <c r="F16" s="11" t="n">
        <v>82</v>
      </c>
      <c r="G16" s="11" t="n">
        <v>76</v>
      </c>
      <c r="H16" s="11" t="n">
        <v>82</v>
      </c>
      <c r="I16" s="11" t="n">
        <v>82</v>
      </c>
      <c r="J16" s="11" t="n">
        <v>76</v>
      </c>
      <c r="K16" s="11" t="n">
        <v>82</v>
      </c>
      <c r="L16" s="11" t="n">
        <v>82</v>
      </c>
      <c r="M16" s="11" t="n">
        <v>76</v>
      </c>
      <c r="N16" s="12">
        <f>AVERAGE(E16:F16,H16:I16,K16:L16)</f>
        <v/>
      </c>
      <c r="O16" s="12">
        <f>AVERAGE(G16,J16,M16)</f>
        <v/>
      </c>
      <c r="P16" s="8">
        <f>ROUND(AVERAGE(N16:O16),0)</f>
        <v/>
      </c>
    </row>
    <row r="17">
      <c r="B17" s="13" t="n"/>
      <c r="C17" s="14" t="inlineStr">
        <is>
          <t>Rata-Rata Kelas</t>
        </is>
      </c>
      <c r="D17" s="13" t="n"/>
      <c r="E17" s="15">
        <f>AVERAGE(E7:E16)</f>
        <v/>
      </c>
      <c r="F17" s="15">
        <f>AVERAGE(F7:F16)</f>
        <v/>
      </c>
      <c r="G17" s="15">
        <f>AVERAGE(G7:G16)</f>
        <v/>
      </c>
      <c r="H17" s="15">
        <f>AVERAGE(H7:H16)</f>
        <v/>
      </c>
      <c r="I17" s="15">
        <f>AVERAGE(I7:I16)</f>
        <v/>
      </c>
      <c r="J17" s="15">
        <f>AVERAGE(J7:J16)</f>
        <v/>
      </c>
      <c r="K17" s="15">
        <f>AVERAGE(K7:K16)</f>
        <v/>
      </c>
      <c r="L17" s="15">
        <f>AVERAGE(L7:L16)</f>
        <v/>
      </c>
      <c r="M17" s="15">
        <f>AVERAGE(M7:M16)</f>
        <v/>
      </c>
      <c r="N17" s="16">
        <f>AVERAGE(N7:N16)</f>
        <v/>
      </c>
      <c r="O17" s="16">
        <f>AVERAGE(O7:O16)</f>
        <v/>
      </c>
      <c r="P17" s="15">
        <f>AVERAGE(P7:P16)</f>
        <v/>
      </c>
    </row>
  </sheetData>
  <mergeCells count="9">
    <mergeCell ref="O5:O6"/>
    <mergeCell ref="N5:N6"/>
    <mergeCell ref="P5:P6"/>
    <mergeCell ref="E5:G5"/>
    <mergeCell ref="K5:M5"/>
    <mergeCell ref="H5:J5"/>
    <mergeCell ref="C5:C6"/>
    <mergeCell ref="B5:B6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/>
    <row r="2">
      <c r="B2" s="1" t="inlineStr">
        <is>
          <t>DAFTAR NILAI FORMATIF &amp; SUMATIF PJOK KELAS V SEMESTER 1</t>
        </is>
      </c>
    </row>
    <row r="3">
      <c r="B3" s="2" t="inlineStr">
        <is>
          <t>Kurikulum Merdeka — Pendekatan Deep Learning | Tahun Ajaran 2026/2027</t>
        </is>
      </c>
    </row>
    <row r="4"/>
    <row r="5" ht="25" customHeight="1">
      <c r="B5" s="3" t="inlineStr">
        <is>
          <t>No</t>
        </is>
      </c>
      <c r="C5" s="3" t="inlineStr">
        <is>
          <t>Nama Siswa</t>
        </is>
      </c>
      <c r="D5" s="3" t="inlineStr">
        <is>
          <t>NISN</t>
        </is>
      </c>
      <c r="E5" s="3" t="inlineStr">
        <is>
          <t>BAB 1: Waktunya Bergerak</t>
        </is>
      </c>
      <c r="F5" s="3" t="n"/>
      <c r="G5" s="3" t="n"/>
      <c r="H5" s="3" t="inlineStr">
        <is>
          <t>BAB 2: Saatnya Bermain</t>
        </is>
      </c>
      <c r="I5" s="3" t="n"/>
      <c r="J5" s="3" t="n"/>
      <c r="K5" s="3" t="inlineStr">
        <is>
          <t>BAB 3: Memadukan Gerak</t>
        </is>
      </c>
      <c r="L5" s="3" t="n"/>
      <c r="M5" s="3" t="n"/>
      <c r="N5" s="3" t="inlineStr">
        <is>
          <t>Rerata
Formatif</t>
        </is>
      </c>
      <c r="O5" s="3" t="inlineStr">
        <is>
          <t>Rerata
Sumatif</t>
        </is>
      </c>
      <c r="P5" s="3" t="inlineStr">
        <is>
          <t>NILAI AKHIR
SEMESTER</t>
        </is>
      </c>
    </row>
    <row r="6" ht="35" customHeight="1">
      <c r="B6" s="3" t="n"/>
      <c r="C6" s="3" t="n"/>
      <c r="D6" s="3" t="n"/>
      <c r="E6" s="3" t="inlineStr">
        <is>
          <t>F1
(Permainan
Tim)</t>
        </is>
      </c>
      <c r="F6" s="3" t="inlineStr">
        <is>
          <t>F2
(Permainan
Individu)</t>
        </is>
      </c>
      <c r="G6" s="3" t="inlineStr">
        <is>
          <t>S1
(Tes Praktik
Bab 1)</t>
        </is>
      </c>
      <c r="H6" s="3" t="inlineStr">
        <is>
          <t>F3
(Invasi/Net)</t>
        </is>
      </c>
      <c r="I6" s="3" t="inlineStr">
        <is>
          <t>F4
(Lapangan/
Target)</t>
        </is>
      </c>
      <c r="J6" s="3" t="inlineStr">
        <is>
          <t>S2
(Tes Praktik
Bab 2)</t>
        </is>
      </c>
      <c r="K6" s="3" t="inlineStr">
        <is>
          <t>F5
(Gerak
Berirama)</t>
        </is>
      </c>
      <c r="L6" s="3" t="inlineStr">
        <is>
          <t>F6
(Senam/
Pencak Silat)</t>
        </is>
      </c>
      <c r="M6" s="3" t="inlineStr">
        <is>
          <t>S3
(Tes Praktik
Bab 3)</t>
        </is>
      </c>
      <c r="N6" s="3" t="n"/>
      <c r="O6" s="3" t="n"/>
      <c r="P6" s="3" t="n"/>
    </row>
    <row r="7">
      <c r="B7" s="4" t="n">
        <v>1</v>
      </c>
      <c r="C7" s="5" t="inlineStr">
        <is>
          <t>Ahmad Fauzi</t>
        </is>
      </c>
      <c r="D7" s="4" t="inlineStr">
        <is>
          <t>0123456781</t>
        </is>
      </c>
      <c r="E7" s="6" t="n">
        <v>85</v>
      </c>
      <c r="F7" s="6" t="n">
        <v>85</v>
      </c>
      <c r="G7" s="6" t="n">
        <v>79</v>
      </c>
      <c r="H7" s="6" t="n">
        <v>85</v>
      </c>
      <c r="I7" s="6" t="n">
        <v>85</v>
      </c>
      <c r="J7" s="6" t="n">
        <v>79</v>
      </c>
      <c r="K7" s="6" t="n">
        <v>85</v>
      </c>
      <c r="L7" s="6" t="n">
        <v>85</v>
      </c>
      <c r="M7" s="6" t="n">
        <v>79</v>
      </c>
      <c r="N7" s="7">
        <f>AVERAGE(E7:F7,H7:I7,K7:L7)</f>
        <v/>
      </c>
      <c r="O7" s="7">
        <f>AVERAGE(G7,J7,M7)</f>
        <v/>
      </c>
      <c r="P7" s="8">
        <f>ROUND(AVERAGE(N7:O7),0)</f>
        <v/>
      </c>
    </row>
    <row r="8">
      <c r="B8" s="9" t="n">
        <v>2</v>
      </c>
      <c r="C8" s="10" t="inlineStr">
        <is>
          <t>Budi Santoso</t>
        </is>
      </c>
      <c r="D8" s="9" t="inlineStr">
        <is>
          <t>0123456782</t>
        </is>
      </c>
      <c r="E8" s="11" t="n">
        <v>87</v>
      </c>
      <c r="F8" s="11" t="n">
        <v>87</v>
      </c>
      <c r="G8" s="11" t="n">
        <v>81</v>
      </c>
      <c r="H8" s="11" t="n">
        <v>87</v>
      </c>
      <c r="I8" s="11" t="n">
        <v>87</v>
      </c>
      <c r="J8" s="11" t="n">
        <v>81</v>
      </c>
      <c r="K8" s="11" t="n">
        <v>87</v>
      </c>
      <c r="L8" s="11" t="n">
        <v>87</v>
      </c>
      <c r="M8" s="11" t="n">
        <v>81</v>
      </c>
      <c r="N8" s="12">
        <f>AVERAGE(E8:F8,H8:I8,K8:L8)</f>
        <v/>
      </c>
      <c r="O8" s="12">
        <f>AVERAGE(G8,J8,M8)</f>
        <v/>
      </c>
      <c r="P8" s="8">
        <f>ROUND(AVERAGE(N8:O8),0)</f>
        <v/>
      </c>
    </row>
    <row r="9">
      <c r="B9" s="4" t="n">
        <v>3</v>
      </c>
      <c r="C9" s="5" t="inlineStr">
        <is>
          <t>Citra Lestari</t>
        </is>
      </c>
      <c r="D9" s="4" t="inlineStr">
        <is>
          <t>0123456783</t>
        </is>
      </c>
      <c r="E9" s="6" t="n">
        <v>80</v>
      </c>
      <c r="F9" s="6" t="n">
        <v>80</v>
      </c>
      <c r="G9" s="6" t="n">
        <v>74</v>
      </c>
      <c r="H9" s="6" t="n">
        <v>80</v>
      </c>
      <c r="I9" s="6" t="n">
        <v>80</v>
      </c>
      <c r="J9" s="6" t="n">
        <v>74</v>
      </c>
      <c r="K9" s="6" t="n">
        <v>80</v>
      </c>
      <c r="L9" s="6" t="n">
        <v>80</v>
      </c>
      <c r="M9" s="6" t="n">
        <v>74</v>
      </c>
      <c r="N9" s="7">
        <f>AVERAGE(E9:F9,H9:I9,K9:L9)</f>
        <v/>
      </c>
      <c r="O9" s="7">
        <f>AVERAGE(G9,J9,M9)</f>
        <v/>
      </c>
      <c r="P9" s="8">
        <f>ROUND(AVERAGE(N9:O9),0)</f>
        <v/>
      </c>
    </row>
    <row r="10">
      <c r="B10" s="9" t="n">
        <v>4</v>
      </c>
      <c r="C10" s="10" t="inlineStr">
        <is>
          <t>Dedi Wijaya</t>
        </is>
      </c>
      <c r="D10" s="9" t="inlineStr">
        <is>
          <t>0123456784</t>
        </is>
      </c>
      <c r="E10" s="11" t="n">
        <v>82</v>
      </c>
      <c r="F10" s="11" t="n">
        <v>82</v>
      </c>
      <c r="G10" s="11" t="n">
        <v>76</v>
      </c>
      <c r="H10" s="11" t="n">
        <v>82</v>
      </c>
      <c r="I10" s="11" t="n">
        <v>82</v>
      </c>
      <c r="J10" s="11" t="n">
        <v>76</v>
      </c>
      <c r="K10" s="11" t="n">
        <v>82</v>
      </c>
      <c r="L10" s="11" t="n">
        <v>82</v>
      </c>
      <c r="M10" s="11" t="n">
        <v>76</v>
      </c>
      <c r="N10" s="12">
        <f>AVERAGE(E10:F10,H10:I10,K10:L10)</f>
        <v/>
      </c>
      <c r="O10" s="12">
        <f>AVERAGE(G10,J10,M10)</f>
        <v/>
      </c>
      <c r="P10" s="8">
        <f>ROUND(AVERAGE(N10:O10),0)</f>
        <v/>
      </c>
    </row>
    <row r="11">
      <c r="B11" s="4" t="n">
        <v>5</v>
      </c>
      <c r="C11" s="5" t="inlineStr">
        <is>
          <t>Eka Putri</t>
        </is>
      </c>
      <c r="D11" s="4" t="inlineStr">
        <is>
          <t>0123456785</t>
        </is>
      </c>
      <c r="E11" s="6" t="n">
        <v>90</v>
      </c>
      <c r="F11" s="6" t="n">
        <v>90</v>
      </c>
      <c r="G11" s="6" t="n">
        <v>84</v>
      </c>
      <c r="H11" s="6" t="n">
        <v>90</v>
      </c>
      <c r="I11" s="6" t="n">
        <v>90</v>
      </c>
      <c r="J11" s="6" t="n">
        <v>84</v>
      </c>
      <c r="K11" s="6" t="n">
        <v>90</v>
      </c>
      <c r="L11" s="6" t="n">
        <v>90</v>
      </c>
      <c r="M11" s="6" t="n">
        <v>84</v>
      </c>
      <c r="N11" s="7">
        <f>AVERAGE(E11:F11,H11:I11,K11:L11)</f>
        <v/>
      </c>
      <c r="O11" s="7">
        <f>AVERAGE(G11,J11,M11)</f>
        <v/>
      </c>
      <c r="P11" s="8">
        <f>ROUND(AVERAGE(N11:O11),0)</f>
        <v/>
      </c>
    </row>
    <row r="12">
      <c r="B12" s="9" t="n">
        <v>6</v>
      </c>
      <c r="C12" s="10" t="inlineStr">
        <is>
          <t>Fajar Ramadhan</t>
        </is>
      </c>
      <c r="D12" s="9" t="inlineStr">
        <is>
          <t>0123456786</t>
        </is>
      </c>
      <c r="E12" s="11" t="n">
        <v>77</v>
      </c>
      <c r="F12" s="11" t="n">
        <v>77</v>
      </c>
      <c r="G12" s="11" t="n">
        <v>71</v>
      </c>
      <c r="H12" s="11" t="n">
        <v>77</v>
      </c>
      <c r="I12" s="11" t="n">
        <v>77</v>
      </c>
      <c r="J12" s="11" t="n">
        <v>71</v>
      </c>
      <c r="K12" s="11" t="n">
        <v>77</v>
      </c>
      <c r="L12" s="11" t="n">
        <v>77</v>
      </c>
      <c r="M12" s="11" t="n">
        <v>71</v>
      </c>
      <c r="N12" s="12">
        <f>AVERAGE(E12:F12,H12:I12,K12:L12)</f>
        <v/>
      </c>
      <c r="O12" s="12">
        <f>AVERAGE(G12,J12,M12)</f>
        <v/>
      </c>
      <c r="P12" s="8">
        <f>ROUND(AVERAGE(N12:O12),0)</f>
        <v/>
      </c>
    </row>
    <row r="13">
      <c r="B13" s="4" t="n">
        <v>7</v>
      </c>
      <c r="C13" s="5" t="inlineStr">
        <is>
          <t>Gita Permata</t>
        </is>
      </c>
      <c r="D13" s="4" t="inlineStr">
        <is>
          <t>0123456787</t>
        </is>
      </c>
      <c r="E13" s="6" t="n">
        <v>85</v>
      </c>
      <c r="F13" s="6" t="n">
        <v>85</v>
      </c>
      <c r="G13" s="6" t="n">
        <v>79</v>
      </c>
      <c r="H13" s="6" t="n">
        <v>85</v>
      </c>
      <c r="I13" s="6" t="n">
        <v>85</v>
      </c>
      <c r="J13" s="6" t="n">
        <v>79</v>
      </c>
      <c r="K13" s="6" t="n">
        <v>85</v>
      </c>
      <c r="L13" s="6" t="n">
        <v>85</v>
      </c>
      <c r="M13" s="6" t="n">
        <v>79</v>
      </c>
      <c r="N13" s="7">
        <f>AVERAGE(E13:F13,H13:I13,K13:L13)</f>
        <v/>
      </c>
      <c r="O13" s="7">
        <f>AVERAGE(G13,J13,M13)</f>
        <v/>
      </c>
      <c r="P13" s="8">
        <f>ROUND(AVERAGE(N13:O13),0)</f>
        <v/>
      </c>
    </row>
    <row r="14">
      <c r="B14" s="9" t="n">
        <v>8</v>
      </c>
      <c r="C14" s="10" t="inlineStr">
        <is>
          <t>Hadi Kusuma</t>
        </is>
      </c>
      <c r="D14" s="9" t="inlineStr">
        <is>
          <t>0123456788</t>
        </is>
      </c>
      <c r="E14" s="11" t="n">
        <v>87</v>
      </c>
      <c r="F14" s="11" t="n">
        <v>87</v>
      </c>
      <c r="G14" s="11" t="n">
        <v>81</v>
      </c>
      <c r="H14" s="11" t="n">
        <v>87</v>
      </c>
      <c r="I14" s="11" t="n">
        <v>87</v>
      </c>
      <c r="J14" s="11" t="n">
        <v>81</v>
      </c>
      <c r="K14" s="11" t="n">
        <v>87</v>
      </c>
      <c r="L14" s="11" t="n">
        <v>87</v>
      </c>
      <c r="M14" s="11" t="n">
        <v>81</v>
      </c>
      <c r="N14" s="12">
        <f>AVERAGE(E14:F14,H14:I14,K14:L14)</f>
        <v/>
      </c>
      <c r="O14" s="12">
        <f>AVERAGE(G14,J14,M14)</f>
        <v/>
      </c>
      <c r="P14" s="8">
        <f>ROUND(AVERAGE(N14:O14),0)</f>
        <v/>
      </c>
    </row>
    <row r="15">
      <c r="B15" s="4" t="n">
        <v>9</v>
      </c>
      <c r="C15" s="5" t="inlineStr">
        <is>
          <t>Indah Cahyani</t>
        </is>
      </c>
      <c r="D15" s="4" t="inlineStr">
        <is>
          <t>0123456789</t>
        </is>
      </c>
      <c r="E15" s="6" t="n">
        <v>80</v>
      </c>
      <c r="F15" s="6" t="n">
        <v>80</v>
      </c>
      <c r="G15" s="6" t="n">
        <v>74</v>
      </c>
      <c r="H15" s="6" t="n">
        <v>80</v>
      </c>
      <c r="I15" s="6" t="n">
        <v>80</v>
      </c>
      <c r="J15" s="6" t="n">
        <v>74</v>
      </c>
      <c r="K15" s="6" t="n">
        <v>80</v>
      </c>
      <c r="L15" s="6" t="n">
        <v>80</v>
      </c>
      <c r="M15" s="6" t="n">
        <v>74</v>
      </c>
      <c r="N15" s="7">
        <f>AVERAGE(E15:F15,H15:I15,K15:L15)</f>
        <v/>
      </c>
      <c r="O15" s="7">
        <f>AVERAGE(G15,J15,M15)</f>
        <v/>
      </c>
      <c r="P15" s="8">
        <f>ROUND(AVERAGE(N15:O15),0)</f>
        <v/>
      </c>
    </row>
    <row r="16">
      <c r="B16" s="9" t="n">
        <v>10</v>
      </c>
      <c r="C16" s="10" t="inlineStr">
        <is>
          <t>Joko Susilo</t>
        </is>
      </c>
      <c r="D16" s="9" t="inlineStr">
        <is>
          <t>0123456790</t>
        </is>
      </c>
      <c r="E16" s="11" t="n">
        <v>82</v>
      </c>
      <c r="F16" s="11" t="n">
        <v>82</v>
      </c>
      <c r="G16" s="11" t="n">
        <v>76</v>
      </c>
      <c r="H16" s="11" t="n">
        <v>82</v>
      </c>
      <c r="I16" s="11" t="n">
        <v>82</v>
      </c>
      <c r="J16" s="11" t="n">
        <v>76</v>
      </c>
      <c r="K16" s="11" t="n">
        <v>82</v>
      </c>
      <c r="L16" s="11" t="n">
        <v>82</v>
      </c>
      <c r="M16" s="11" t="n">
        <v>76</v>
      </c>
      <c r="N16" s="12">
        <f>AVERAGE(E16:F16,H16:I16,K16:L16)</f>
        <v/>
      </c>
      <c r="O16" s="12">
        <f>AVERAGE(G16,J16,M16)</f>
        <v/>
      </c>
      <c r="P16" s="8">
        <f>ROUND(AVERAGE(N16:O16),0)</f>
        <v/>
      </c>
    </row>
    <row r="17">
      <c r="B17" s="13" t="n"/>
      <c r="C17" s="14" t="inlineStr">
        <is>
          <t>Rata-Rata Kelas</t>
        </is>
      </c>
      <c r="D17" s="13" t="n"/>
      <c r="E17" s="15">
        <f>AVERAGE(E7:E16)</f>
        <v/>
      </c>
      <c r="F17" s="15">
        <f>AVERAGE(F7:F16)</f>
        <v/>
      </c>
      <c r="G17" s="15">
        <f>AVERAGE(G7:G16)</f>
        <v/>
      </c>
      <c r="H17" s="15">
        <f>AVERAGE(H7:H16)</f>
        <v/>
      </c>
      <c r="I17" s="15">
        <f>AVERAGE(I7:I16)</f>
        <v/>
      </c>
      <c r="J17" s="15">
        <f>AVERAGE(J7:J16)</f>
        <v/>
      </c>
      <c r="K17" s="15">
        <f>AVERAGE(K7:K16)</f>
        <v/>
      </c>
      <c r="L17" s="15">
        <f>AVERAGE(L7:L16)</f>
        <v/>
      </c>
      <c r="M17" s="15">
        <f>AVERAGE(M7:M16)</f>
        <v/>
      </c>
      <c r="N17" s="16">
        <f>AVERAGE(N7:N16)</f>
        <v/>
      </c>
      <c r="O17" s="16">
        <f>AVERAGE(O7:O16)</f>
        <v/>
      </c>
      <c r="P17" s="15">
        <f>AVERAGE(P7:P16)</f>
        <v/>
      </c>
    </row>
  </sheetData>
  <mergeCells count="9">
    <mergeCell ref="O5:O6"/>
    <mergeCell ref="N5:N6"/>
    <mergeCell ref="P5:P6"/>
    <mergeCell ref="E5:G5"/>
    <mergeCell ref="K5:M5"/>
    <mergeCell ref="H5:J5"/>
    <mergeCell ref="C5:C6"/>
    <mergeCell ref="B5:B6"/>
    <mergeCell ref="D5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/>
    <row r="2">
      <c r="B2" s="1" t="inlineStr">
        <is>
          <t>DAFTAR NILAI FORMATIF &amp; SUMATIF PJOK KELAS VI SEMESTER 1</t>
        </is>
      </c>
    </row>
    <row r="3">
      <c r="B3" s="2" t="inlineStr">
        <is>
          <t>Kurikulum Merdeka — Pendekatan Deep Learning | Tahun Ajaran 2026/2027</t>
        </is>
      </c>
    </row>
    <row r="4"/>
    <row r="5" ht="25" customHeight="1">
      <c r="B5" s="3" t="inlineStr">
        <is>
          <t>No</t>
        </is>
      </c>
      <c r="C5" s="3" t="inlineStr">
        <is>
          <t>Nama Siswa</t>
        </is>
      </c>
      <c r="D5" s="3" t="inlineStr">
        <is>
          <t>NISN</t>
        </is>
      </c>
      <c r="E5" s="3" t="inlineStr">
        <is>
          <t>BAB 1: Waktunya Bergerak</t>
        </is>
      </c>
      <c r="F5" s="3" t="n"/>
      <c r="G5" s="3" t="n"/>
      <c r="H5" s="3" t="inlineStr">
        <is>
          <t>BAB 2: Saatnya Bermain</t>
        </is>
      </c>
      <c r="I5" s="3" t="n"/>
      <c r="J5" s="3" t="n"/>
      <c r="K5" s="3" t="inlineStr">
        <is>
          <t>BAB 3: Belajar Memadukan Gerak</t>
        </is>
      </c>
      <c r="L5" s="3" t="n"/>
      <c r="M5" s="3" t="n"/>
      <c r="N5" s="3" t="inlineStr">
        <is>
          <t>Rerata
Formatif</t>
        </is>
      </c>
      <c r="O5" s="3" t="inlineStr">
        <is>
          <t>Rerata
Sumatif</t>
        </is>
      </c>
      <c r="P5" s="3" t="inlineStr">
        <is>
          <t>NILAI AKHIR
SEMESTER</t>
        </is>
      </c>
    </row>
    <row r="6" ht="35" customHeight="1">
      <c r="B6" s="3" t="n"/>
      <c r="C6" s="3" t="n"/>
      <c r="D6" s="3" t="n"/>
      <c r="E6" s="3" t="inlineStr">
        <is>
          <t>F1
(Modif Tradisional)</t>
        </is>
      </c>
      <c r="F6" s="3" t="inlineStr">
        <is>
          <t>F2
(Modif Bola)</t>
        </is>
      </c>
      <c r="G6" s="3" t="inlineStr">
        <is>
          <t>S1
(Tes Praktik
Bab 1)</t>
        </is>
      </c>
      <c r="H6" s="3" t="inlineStr">
        <is>
          <t>F3
(Permainan
Lapangan)</t>
        </is>
      </c>
      <c r="I6" s="3" t="inlineStr">
        <is>
          <t>F4
(Permainan
Net)</t>
        </is>
      </c>
      <c r="J6" s="3" t="inlineStr">
        <is>
          <t>S2
(Tes Praktik
Bab 2)</t>
        </is>
      </c>
      <c r="K6" s="3" t="inlineStr">
        <is>
          <t>F5
(Senam Lantai/
Berirama)</t>
        </is>
      </c>
      <c r="L6" s="3" t="inlineStr">
        <is>
          <t>F6
(Kompetisi
Olahraga)</t>
        </is>
      </c>
      <c r="M6" s="3" t="inlineStr">
        <is>
          <t>S3
(Tes Praktik
Bab 3)</t>
        </is>
      </c>
      <c r="N6" s="3" t="n"/>
      <c r="O6" s="3" t="n"/>
      <c r="P6" s="3" t="n"/>
    </row>
    <row r="7">
      <c r="B7" s="4" t="n">
        <v>1</v>
      </c>
      <c r="C7" s="5" t="inlineStr">
        <is>
          <t>Ahmad Fauzi</t>
        </is>
      </c>
      <c r="D7" s="4" t="inlineStr">
        <is>
          <t>0123456781</t>
        </is>
      </c>
      <c r="E7" s="6" t="n">
        <v>85</v>
      </c>
      <c r="F7" s="6" t="n">
        <v>85</v>
      </c>
      <c r="G7" s="6" t="n">
        <v>79</v>
      </c>
      <c r="H7" s="6" t="n">
        <v>85</v>
      </c>
      <c r="I7" s="6" t="n">
        <v>85</v>
      </c>
      <c r="J7" s="6" t="n">
        <v>79</v>
      </c>
      <c r="K7" s="6" t="n">
        <v>85</v>
      </c>
      <c r="L7" s="6" t="n">
        <v>85</v>
      </c>
      <c r="M7" s="6" t="n">
        <v>79</v>
      </c>
      <c r="N7" s="7">
        <f>AVERAGE(E7:F7,H7:I7,K7:L7)</f>
        <v/>
      </c>
      <c r="O7" s="7">
        <f>AVERAGE(G7,J7,M7)</f>
        <v/>
      </c>
      <c r="P7" s="8">
        <f>ROUND(AVERAGE(N7:O7),0)</f>
        <v/>
      </c>
    </row>
    <row r="8">
      <c r="B8" s="9" t="n">
        <v>2</v>
      </c>
      <c r="C8" s="10" t="inlineStr">
        <is>
          <t>Budi Santoso</t>
        </is>
      </c>
      <c r="D8" s="9" t="inlineStr">
        <is>
          <t>0123456782</t>
        </is>
      </c>
      <c r="E8" s="11" t="n">
        <v>87</v>
      </c>
      <c r="F8" s="11" t="n">
        <v>87</v>
      </c>
      <c r="G8" s="11" t="n">
        <v>81</v>
      </c>
      <c r="H8" s="11" t="n">
        <v>87</v>
      </c>
      <c r="I8" s="11" t="n">
        <v>87</v>
      </c>
      <c r="J8" s="11" t="n">
        <v>81</v>
      </c>
      <c r="K8" s="11" t="n">
        <v>87</v>
      </c>
      <c r="L8" s="11" t="n">
        <v>87</v>
      </c>
      <c r="M8" s="11" t="n">
        <v>81</v>
      </c>
      <c r="N8" s="12">
        <f>AVERAGE(E8:F8,H8:I8,K8:L8)</f>
        <v/>
      </c>
      <c r="O8" s="12">
        <f>AVERAGE(G8,J8,M8)</f>
        <v/>
      </c>
      <c r="P8" s="8">
        <f>ROUND(AVERAGE(N8:O8),0)</f>
        <v/>
      </c>
    </row>
    <row r="9">
      <c r="B9" s="4" t="n">
        <v>3</v>
      </c>
      <c r="C9" s="5" t="inlineStr">
        <is>
          <t>Citra Lestari</t>
        </is>
      </c>
      <c r="D9" s="4" t="inlineStr">
        <is>
          <t>0123456783</t>
        </is>
      </c>
      <c r="E9" s="6" t="n">
        <v>80</v>
      </c>
      <c r="F9" s="6" t="n">
        <v>80</v>
      </c>
      <c r="G9" s="6" t="n">
        <v>74</v>
      </c>
      <c r="H9" s="6" t="n">
        <v>80</v>
      </c>
      <c r="I9" s="6" t="n">
        <v>80</v>
      </c>
      <c r="J9" s="6" t="n">
        <v>74</v>
      </c>
      <c r="K9" s="6" t="n">
        <v>80</v>
      </c>
      <c r="L9" s="6" t="n">
        <v>80</v>
      </c>
      <c r="M9" s="6" t="n">
        <v>74</v>
      </c>
      <c r="N9" s="7">
        <f>AVERAGE(E9:F9,H9:I9,K9:L9)</f>
        <v/>
      </c>
      <c r="O9" s="7">
        <f>AVERAGE(G9,J9,M9)</f>
        <v/>
      </c>
      <c r="P9" s="8">
        <f>ROUND(AVERAGE(N9:O9),0)</f>
        <v/>
      </c>
    </row>
    <row r="10">
      <c r="B10" s="9" t="n">
        <v>4</v>
      </c>
      <c r="C10" s="10" t="inlineStr">
        <is>
          <t>Dedi Wijaya</t>
        </is>
      </c>
      <c r="D10" s="9" t="inlineStr">
        <is>
          <t>0123456784</t>
        </is>
      </c>
      <c r="E10" s="11" t="n">
        <v>82</v>
      </c>
      <c r="F10" s="11" t="n">
        <v>82</v>
      </c>
      <c r="G10" s="11" t="n">
        <v>76</v>
      </c>
      <c r="H10" s="11" t="n">
        <v>82</v>
      </c>
      <c r="I10" s="11" t="n">
        <v>82</v>
      </c>
      <c r="J10" s="11" t="n">
        <v>76</v>
      </c>
      <c r="K10" s="11" t="n">
        <v>82</v>
      </c>
      <c r="L10" s="11" t="n">
        <v>82</v>
      </c>
      <c r="M10" s="11" t="n">
        <v>76</v>
      </c>
      <c r="N10" s="12">
        <f>AVERAGE(E10:F10,H10:I10,K10:L10)</f>
        <v/>
      </c>
      <c r="O10" s="12">
        <f>AVERAGE(G10,J10,M10)</f>
        <v/>
      </c>
      <c r="P10" s="8">
        <f>ROUND(AVERAGE(N10:O10),0)</f>
        <v/>
      </c>
    </row>
    <row r="11">
      <c r="B11" s="4" t="n">
        <v>5</v>
      </c>
      <c r="C11" s="5" t="inlineStr">
        <is>
          <t>Eka Putri</t>
        </is>
      </c>
      <c r="D11" s="4" t="inlineStr">
        <is>
          <t>0123456785</t>
        </is>
      </c>
      <c r="E11" s="6" t="n">
        <v>90</v>
      </c>
      <c r="F11" s="6" t="n">
        <v>90</v>
      </c>
      <c r="G11" s="6" t="n">
        <v>84</v>
      </c>
      <c r="H11" s="6" t="n">
        <v>90</v>
      </c>
      <c r="I11" s="6" t="n">
        <v>90</v>
      </c>
      <c r="J11" s="6" t="n">
        <v>84</v>
      </c>
      <c r="K11" s="6" t="n">
        <v>90</v>
      </c>
      <c r="L11" s="6" t="n">
        <v>90</v>
      </c>
      <c r="M11" s="6" t="n">
        <v>84</v>
      </c>
      <c r="N11" s="7">
        <f>AVERAGE(E11:F11,H11:I11,K11:L11)</f>
        <v/>
      </c>
      <c r="O11" s="7">
        <f>AVERAGE(G11,J11,M11)</f>
        <v/>
      </c>
      <c r="P11" s="8">
        <f>ROUND(AVERAGE(N11:O11),0)</f>
        <v/>
      </c>
    </row>
    <row r="12">
      <c r="B12" s="9" t="n">
        <v>6</v>
      </c>
      <c r="C12" s="10" t="inlineStr">
        <is>
          <t>Fajar Ramadhan</t>
        </is>
      </c>
      <c r="D12" s="9" t="inlineStr">
        <is>
          <t>0123456786</t>
        </is>
      </c>
      <c r="E12" s="11" t="n">
        <v>77</v>
      </c>
      <c r="F12" s="11" t="n">
        <v>77</v>
      </c>
      <c r="G12" s="11" t="n">
        <v>71</v>
      </c>
      <c r="H12" s="11" t="n">
        <v>77</v>
      </c>
      <c r="I12" s="11" t="n">
        <v>77</v>
      </c>
      <c r="J12" s="11" t="n">
        <v>71</v>
      </c>
      <c r="K12" s="11" t="n">
        <v>77</v>
      </c>
      <c r="L12" s="11" t="n">
        <v>77</v>
      </c>
      <c r="M12" s="11" t="n">
        <v>71</v>
      </c>
      <c r="N12" s="12">
        <f>AVERAGE(E12:F12,H12:I12,K12:L12)</f>
        <v/>
      </c>
      <c r="O12" s="12">
        <f>AVERAGE(G12,J12,M12)</f>
        <v/>
      </c>
      <c r="P12" s="8">
        <f>ROUND(AVERAGE(N12:O12),0)</f>
        <v/>
      </c>
    </row>
    <row r="13">
      <c r="B13" s="4" t="n">
        <v>7</v>
      </c>
      <c r="C13" s="5" t="inlineStr">
        <is>
          <t>Gita Permata</t>
        </is>
      </c>
      <c r="D13" s="4" t="inlineStr">
        <is>
          <t>0123456787</t>
        </is>
      </c>
      <c r="E13" s="6" t="n">
        <v>85</v>
      </c>
      <c r="F13" s="6" t="n">
        <v>85</v>
      </c>
      <c r="G13" s="6" t="n">
        <v>79</v>
      </c>
      <c r="H13" s="6" t="n">
        <v>85</v>
      </c>
      <c r="I13" s="6" t="n">
        <v>85</v>
      </c>
      <c r="J13" s="6" t="n">
        <v>79</v>
      </c>
      <c r="K13" s="6" t="n">
        <v>85</v>
      </c>
      <c r="L13" s="6" t="n">
        <v>85</v>
      </c>
      <c r="M13" s="6" t="n">
        <v>79</v>
      </c>
      <c r="N13" s="7">
        <f>AVERAGE(E13:F13,H13:I13,K13:L13)</f>
        <v/>
      </c>
      <c r="O13" s="7">
        <f>AVERAGE(G13,J13,M13)</f>
        <v/>
      </c>
      <c r="P13" s="8">
        <f>ROUND(AVERAGE(N13:O13),0)</f>
        <v/>
      </c>
    </row>
    <row r="14">
      <c r="B14" s="9" t="n">
        <v>8</v>
      </c>
      <c r="C14" s="10" t="inlineStr">
        <is>
          <t>Hadi Kusuma</t>
        </is>
      </c>
      <c r="D14" s="9" t="inlineStr">
        <is>
          <t>0123456788</t>
        </is>
      </c>
      <c r="E14" s="11" t="n">
        <v>87</v>
      </c>
      <c r="F14" s="11" t="n">
        <v>87</v>
      </c>
      <c r="G14" s="11" t="n">
        <v>81</v>
      </c>
      <c r="H14" s="11" t="n">
        <v>87</v>
      </c>
      <c r="I14" s="11" t="n">
        <v>87</v>
      </c>
      <c r="J14" s="11" t="n">
        <v>81</v>
      </c>
      <c r="K14" s="11" t="n">
        <v>87</v>
      </c>
      <c r="L14" s="11" t="n">
        <v>87</v>
      </c>
      <c r="M14" s="11" t="n">
        <v>81</v>
      </c>
      <c r="N14" s="12">
        <f>AVERAGE(E14:F14,H14:I14,K14:L14)</f>
        <v/>
      </c>
      <c r="O14" s="12">
        <f>AVERAGE(G14,J14,M14)</f>
        <v/>
      </c>
      <c r="P14" s="8">
        <f>ROUND(AVERAGE(N14:O14),0)</f>
        <v/>
      </c>
    </row>
    <row r="15">
      <c r="B15" s="4" t="n">
        <v>9</v>
      </c>
      <c r="C15" s="5" t="inlineStr">
        <is>
          <t>Indah Cahyani</t>
        </is>
      </c>
      <c r="D15" s="4" t="inlineStr">
        <is>
          <t>0123456789</t>
        </is>
      </c>
      <c r="E15" s="6" t="n">
        <v>80</v>
      </c>
      <c r="F15" s="6" t="n">
        <v>80</v>
      </c>
      <c r="G15" s="6" t="n">
        <v>74</v>
      </c>
      <c r="H15" s="6" t="n">
        <v>80</v>
      </c>
      <c r="I15" s="6" t="n">
        <v>80</v>
      </c>
      <c r="J15" s="6" t="n">
        <v>74</v>
      </c>
      <c r="K15" s="6" t="n">
        <v>80</v>
      </c>
      <c r="L15" s="6" t="n">
        <v>80</v>
      </c>
      <c r="M15" s="6" t="n">
        <v>74</v>
      </c>
      <c r="N15" s="7">
        <f>AVERAGE(E15:F15,H15:I15,K15:L15)</f>
        <v/>
      </c>
      <c r="O15" s="7">
        <f>AVERAGE(G15,J15,M15)</f>
        <v/>
      </c>
      <c r="P15" s="8">
        <f>ROUND(AVERAGE(N15:O15),0)</f>
        <v/>
      </c>
    </row>
    <row r="16">
      <c r="B16" s="9" t="n">
        <v>10</v>
      </c>
      <c r="C16" s="10" t="inlineStr">
        <is>
          <t>Joko Susilo</t>
        </is>
      </c>
      <c r="D16" s="9" t="inlineStr">
        <is>
          <t>0123456790</t>
        </is>
      </c>
      <c r="E16" s="11" t="n">
        <v>82</v>
      </c>
      <c r="F16" s="11" t="n">
        <v>82</v>
      </c>
      <c r="G16" s="11" t="n">
        <v>76</v>
      </c>
      <c r="H16" s="11" t="n">
        <v>82</v>
      </c>
      <c r="I16" s="11" t="n">
        <v>82</v>
      </c>
      <c r="J16" s="11" t="n">
        <v>76</v>
      </c>
      <c r="K16" s="11" t="n">
        <v>82</v>
      </c>
      <c r="L16" s="11" t="n">
        <v>82</v>
      </c>
      <c r="M16" s="11" t="n">
        <v>76</v>
      </c>
      <c r="N16" s="12">
        <f>AVERAGE(E16:F16,H16:I16,K16:L16)</f>
        <v/>
      </c>
      <c r="O16" s="12">
        <f>AVERAGE(G16,J16,M16)</f>
        <v/>
      </c>
      <c r="P16" s="8">
        <f>ROUND(AVERAGE(N16:O16),0)</f>
        <v/>
      </c>
    </row>
    <row r="17">
      <c r="B17" s="13" t="n"/>
      <c r="C17" s="14" t="inlineStr">
        <is>
          <t>Rata-Rata Kelas</t>
        </is>
      </c>
      <c r="D17" s="13" t="n"/>
      <c r="E17" s="15">
        <f>AVERAGE(E7:E16)</f>
        <v/>
      </c>
      <c r="F17" s="15">
        <f>AVERAGE(F7:F16)</f>
        <v/>
      </c>
      <c r="G17" s="15">
        <f>AVERAGE(G7:G16)</f>
        <v/>
      </c>
      <c r="H17" s="15">
        <f>AVERAGE(H7:H16)</f>
        <v/>
      </c>
      <c r="I17" s="15">
        <f>AVERAGE(I7:I16)</f>
        <v/>
      </c>
      <c r="J17" s="15">
        <f>AVERAGE(J7:J16)</f>
        <v/>
      </c>
      <c r="K17" s="15">
        <f>AVERAGE(K7:K16)</f>
        <v/>
      </c>
      <c r="L17" s="15">
        <f>AVERAGE(L7:L16)</f>
        <v/>
      </c>
      <c r="M17" s="15">
        <f>AVERAGE(M7:M16)</f>
        <v/>
      </c>
      <c r="N17" s="16">
        <f>AVERAGE(N7:N16)</f>
        <v/>
      </c>
      <c r="O17" s="16">
        <f>AVERAGE(O7:O16)</f>
        <v/>
      </c>
      <c r="P17" s="15">
        <f>AVERAGE(P7:P16)</f>
        <v/>
      </c>
    </row>
  </sheetData>
  <mergeCells count="9">
    <mergeCell ref="O5:O6"/>
    <mergeCell ref="N5:N6"/>
    <mergeCell ref="P5:P6"/>
    <mergeCell ref="E5:G5"/>
    <mergeCell ref="K5:M5"/>
    <mergeCell ref="H5:J5"/>
    <mergeCell ref="C5:C6"/>
    <mergeCell ref="B5:B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2026-06-30T16:22:44Z</dcterms:created>
  <dcterms:modified xmlns:dcterms="http://purl.org/dc/terms/" xmlns:xsi="http://www.w3.org/2001/XMLSchema-instance" xsi:type="dcterms:W3CDTF">2026-06-30T16:22:44Z</dcterms:modified>
</cp:coreProperties>
</file>